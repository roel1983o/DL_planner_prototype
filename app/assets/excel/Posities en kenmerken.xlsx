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mediahuis-my.sharepoint.com/personal/roel_ophelders_delimburger_nl/Documents/Bureaublad/Programmeren met ChatGPT bewaarmap/DL Planningstool OXFORD-versie/"/>
    </mc:Choice>
  </mc:AlternateContent>
  <xr:revisionPtr revIDLastSave="209" documentId="8_{0A955EC1-C381-4925-9505-21E2D0F14221}" xr6:coauthVersionLast="47" xr6:coauthVersionMax="47" xr10:uidLastSave="{1B7F30F8-02E2-4FD4-BE7C-A0ECE641B051}"/>
  <bookViews>
    <workbookView xWindow="-120" yWindow="-120" windowWidth="29040" windowHeight="15720" xr2:uid="{00000000-000D-0000-FFFF-FFFF00000000}"/>
  </bookViews>
  <sheets>
    <sheet name="Blad1" sheetId="1" r:id="rId1"/>
    <sheet name="Mapping_Gewenst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2" i="1" l="1"/>
  <c r="J12" i="1"/>
  <c r="K12" i="1"/>
  <c r="L12" i="1"/>
  <c r="I12" i="1"/>
  <c r="H12" i="1"/>
  <c r="G12" i="1"/>
  <c r="O19" i="1" a="1"/>
  <c r="O19" i="1" s="1"/>
  <c r="O18" i="1" a="1"/>
  <c r="O18" i="1" s="1"/>
  <c r="O17" i="1" a="1"/>
  <c r="O17" i="1" s="1"/>
  <c r="O16" i="1" a="1"/>
  <c r="O16" i="1" s="1"/>
  <c r="O15" i="1" a="1"/>
  <c r="O15" i="1" s="1"/>
  <c r="O14" i="1" a="1"/>
  <c r="O14" i="1" s="1"/>
  <c r="O13" i="1" a="1"/>
  <c r="O13" i="1" s="1"/>
  <c r="O12" i="1" a="1"/>
  <c r="O12" i="1" s="1"/>
  <c r="O8" i="1" a="1"/>
  <c r="O8" i="1" s="1"/>
  <c r="O4" i="1" a="1"/>
  <c r="O4" i="1" s="1"/>
  <c r="N18" i="1" l="1"/>
  <c r="H18" i="1"/>
  <c r="K18" i="1" s="1"/>
  <c r="G18" i="1"/>
  <c r="N3" i="1"/>
  <c r="N4" i="1"/>
  <c r="N5" i="1"/>
  <c r="N6" i="1"/>
  <c r="N7" i="1"/>
  <c r="N8" i="1"/>
  <c r="N9" i="1"/>
  <c r="N10" i="1"/>
  <c r="N11" i="1"/>
  <c r="N13" i="1"/>
  <c r="N14" i="1"/>
  <c r="N15" i="1"/>
  <c r="N16" i="1"/>
  <c r="N17" i="1"/>
  <c r="N19" i="1"/>
  <c r="N2" i="1"/>
  <c r="H19" i="1"/>
  <c r="K19" i="1" s="1"/>
  <c r="G19" i="1"/>
  <c r="H15" i="1"/>
  <c r="K15" i="1" s="1"/>
  <c r="G15" i="1"/>
  <c r="H11" i="1"/>
  <c r="K11" i="1" s="1"/>
  <c r="G11" i="1"/>
  <c r="H17" i="1"/>
  <c r="I17" i="1" s="1"/>
  <c r="L17" i="1" s="1"/>
  <c r="G17" i="1"/>
  <c r="H16" i="1"/>
  <c r="K16" i="1" s="1"/>
  <c r="G16" i="1"/>
  <c r="H14" i="1"/>
  <c r="K14" i="1" s="1"/>
  <c r="G14" i="1"/>
  <c r="H13" i="1"/>
  <c r="K13" i="1" s="1"/>
  <c r="G13" i="1"/>
  <c r="H10" i="1"/>
  <c r="K10" i="1" s="1"/>
  <c r="G10" i="1"/>
  <c r="H9" i="1"/>
  <c r="I9" i="1" s="1"/>
  <c r="L9" i="1" s="1"/>
  <c r="G9" i="1"/>
  <c r="H8" i="1"/>
  <c r="K8" i="1" s="1"/>
  <c r="G8" i="1"/>
  <c r="H7" i="1"/>
  <c r="K7" i="1" s="1"/>
  <c r="G7" i="1"/>
  <c r="H6" i="1"/>
  <c r="K6" i="1" s="1"/>
  <c r="G6" i="1"/>
  <c r="H5" i="1"/>
  <c r="I5" i="1" s="1"/>
  <c r="L5" i="1" s="1"/>
  <c r="G5" i="1"/>
  <c r="H4" i="1"/>
  <c r="J4" i="1" s="1"/>
  <c r="G4" i="1"/>
  <c r="H3" i="1"/>
  <c r="K3" i="1" s="1"/>
  <c r="G3" i="1"/>
  <c r="H2" i="1"/>
  <c r="K2" i="1" s="1"/>
  <c r="G2" i="1"/>
  <c r="I18" i="1" l="1"/>
  <c r="L18" i="1" s="1"/>
  <c r="J18" i="1"/>
  <c r="M1" i="1"/>
  <c r="I19" i="1"/>
  <c r="L19" i="1" s="1"/>
  <c r="J19" i="1"/>
  <c r="I15" i="1"/>
  <c r="L15" i="1" s="1"/>
  <c r="J15" i="1"/>
  <c r="J17" i="1"/>
  <c r="J9" i="1"/>
  <c r="K17" i="1"/>
  <c r="I11" i="1"/>
  <c r="L11" i="1" s="1"/>
  <c r="J11" i="1"/>
  <c r="I4" i="1"/>
  <c r="L4" i="1" s="1"/>
  <c r="K4" i="1"/>
  <c r="I2" i="1"/>
  <c r="L2" i="1" s="1"/>
  <c r="J2" i="1"/>
  <c r="K9" i="1"/>
  <c r="J7" i="1"/>
  <c r="I14" i="1"/>
  <c r="L14" i="1" s="1"/>
  <c r="I7" i="1"/>
  <c r="L7" i="1" s="1"/>
  <c r="J14" i="1"/>
  <c r="I10" i="1"/>
  <c r="L10" i="1" s="1"/>
  <c r="J5" i="1"/>
  <c r="I3" i="1"/>
  <c r="L3" i="1" s="1"/>
  <c r="K5" i="1"/>
  <c r="J10" i="1"/>
  <c r="J3" i="1"/>
  <c r="I8" i="1"/>
  <c r="L8" i="1" s="1"/>
  <c r="J8" i="1"/>
  <c r="I16" i="1"/>
  <c r="L16" i="1" s="1"/>
  <c r="J16" i="1"/>
  <c r="I6" i="1"/>
  <c r="L6" i="1" s="1"/>
  <c r="J6" i="1"/>
  <c r="I13" i="1"/>
  <c r="L13" i="1" s="1"/>
  <c r="J1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Roel Ophelders</author>
  </authors>
  <commentList>
    <comment ref="B2" authorId="0" shapeId="0" xr:uid="{00000000-0006-0000-0000-000001000000}">
      <text>
        <r>
          <rPr>
            <sz val="11"/>
            <color theme="1"/>
            <rFont val="Aptos Narrow"/>
            <family val="2"/>
            <scheme val="minor"/>
          </rPr>
          <t>De spread die op de 4/5 in Noord ligt</t>
        </r>
      </text>
    </comment>
    <comment ref="B3" authorId="0" shapeId="0" xr:uid="{00000000-0006-0000-0000-000002000000}">
      <text>
        <r>
          <rPr>
            <sz val="11"/>
            <color theme="1"/>
            <rFont val="Aptos Narrow"/>
            <family val="2"/>
            <scheme val="minor"/>
          </rPr>
          <t>De spread die op de 4/5 in Midden ligt</t>
        </r>
      </text>
    </comment>
    <comment ref="B4" authorId="0" shapeId="0" xr:uid="{00000000-0006-0000-0000-000003000000}">
      <text>
        <r>
          <rPr>
            <sz val="11"/>
            <color theme="1"/>
            <rFont val="Aptos Narrow"/>
            <family val="2"/>
            <scheme val="minor"/>
          </rPr>
          <t>De overlooppagina 6/7 in de edities Noord en Midden , soms Spread, soms enkele pagina</t>
        </r>
      </text>
    </comment>
    <comment ref="B5" authorId="0" shapeId="0" xr:uid="{00000000-0006-0000-0000-000004000000}">
      <text>
        <r>
          <rPr>
            <sz val="11"/>
            <color theme="1"/>
            <rFont val="Aptos Narrow"/>
            <family val="2"/>
            <scheme val="minor"/>
          </rPr>
          <t>De spread die op de 4/5 in Sittard ligt</t>
        </r>
      </text>
    </comment>
    <comment ref="B6" authorId="0" shapeId="0" xr:uid="{00000000-0006-0000-0000-000005000000}">
      <text>
        <r>
          <rPr>
            <sz val="11"/>
            <color theme="1"/>
            <rFont val="Aptos Narrow"/>
            <family val="2"/>
            <scheme val="minor"/>
          </rPr>
          <t>De spread die op de 4/5 in Maastricht/Heuvelland ligt</t>
        </r>
      </text>
    </comment>
    <comment ref="B7" authorId="0" shapeId="0" xr:uid="{00000000-0006-0000-0000-000006000000}">
      <text>
        <r>
          <rPr>
            <sz val="11"/>
            <color theme="1"/>
            <rFont val="Aptos Narrow"/>
            <family val="2"/>
            <scheme val="minor"/>
          </rPr>
          <t>De spread die op de 4/5 in Parkstad ligt</t>
        </r>
      </text>
    </comment>
    <comment ref="B8" authorId="0" shapeId="0" xr:uid="{00000000-0006-0000-0000-000007000000}">
      <text>
        <r>
          <rPr>
            <sz val="11"/>
            <color theme="1"/>
            <rFont val="Aptos Narrow"/>
            <family val="2"/>
            <scheme val="minor"/>
          </rPr>
          <t>De overlooppagina 6/7 in de edities Zuid. Soms spread, soms enkel</t>
        </r>
      </text>
    </comment>
    <comment ref="B9" authorId="0" shapeId="0" xr:uid="{00000000-0006-0000-0000-000008000000}">
      <text>
        <r>
          <rPr>
            <sz val="11"/>
            <color theme="1"/>
            <rFont val="Aptos Narrow"/>
            <family val="2"/>
            <scheme val="minor"/>
          </rPr>
          <t>De Nieuwsdienstpagina die op de 8/9 ligt</t>
        </r>
      </text>
    </comment>
    <comment ref="B10" authorId="0" shapeId="0" xr:uid="{00000000-0006-0000-0000-000009000000}">
      <text>
        <r>
          <rPr>
            <sz val="11"/>
            <color theme="1"/>
            <rFont val="Aptos Narrow"/>
            <family val="2"/>
            <scheme val="minor"/>
          </rPr>
          <t>Een tweede nieuwsdienstpositie, die we meestal niet hebben</t>
        </r>
      </text>
    </comment>
    <comment ref="B11" authorId="0" shapeId="0" xr:uid="{6FE2C48F-565E-4D6A-97CA-7076071975AC}">
      <text>
        <r>
          <rPr>
            <sz val="11"/>
            <color theme="1"/>
            <rFont val="Aptos Narrow"/>
            <family val="2"/>
            <scheme val="minor"/>
          </rPr>
          <t>Een derde nieuwsdienstpositie, zeer zeldzaam</t>
        </r>
      </text>
    </comment>
    <comment ref="B12" authorId="0" shapeId="0" xr:uid="{9015DAD6-AFE8-4C50-A6ED-462E81A8B066}">
      <text>
        <r>
          <rPr>
            <sz val="11"/>
            <color theme="1"/>
            <rFont val="Aptos Narrow"/>
            <family val="2"/>
            <scheme val="minor"/>
          </rPr>
          <t>Het beste van Noord-Midden, gaat mee in de krant in ZUID</t>
        </r>
      </text>
    </comment>
    <comment ref="B13" authorId="0" shapeId="0" xr:uid="{00000000-0006-0000-0000-00000A000000}">
      <text>
        <r>
          <rPr>
            <sz val="11"/>
            <color theme="1"/>
            <rFont val="Aptos Narrow"/>
            <family val="2"/>
            <scheme val="minor"/>
          </rPr>
          <t>Het beste van Noord-Midden, gaat mee in de krant in ZUID</t>
        </r>
      </text>
    </comment>
    <comment ref="B14" authorId="0" shapeId="0" xr:uid="{00000000-0006-0000-0000-00000B000000}">
      <text>
        <r>
          <rPr>
            <sz val="11"/>
            <color theme="1"/>
            <rFont val="Aptos Narrow"/>
            <family val="2"/>
            <scheme val="minor"/>
          </rPr>
          <t>Het beste van Noord-Midden, (zeldzame) 2e positie, gaat mee in Zuid</t>
        </r>
      </text>
    </comment>
    <comment ref="B15" authorId="0" shapeId="0" xr:uid="{9DF67F24-23A4-4F32-B674-EBD0DCC4F9B2}">
      <text>
        <r>
          <rPr>
            <sz val="11"/>
            <color theme="1"/>
            <rFont val="Aptos Narrow"/>
            <family val="2"/>
            <scheme val="minor"/>
          </rPr>
          <t>Het beste van Noord-Midden, (zeer zeldzame) 3e positie, gaat mee in Zuid</t>
        </r>
      </text>
    </comment>
    <comment ref="B16" authorId="0" shapeId="0" xr:uid="{A3A4D3C2-7054-463B-83C2-10439A824D94}">
      <text>
        <r>
          <rPr>
            <sz val="11"/>
            <color theme="1"/>
            <rFont val="Aptos Narrow"/>
            <family val="2"/>
            <scheme val="minor"/>
          </rPr>
          <t>Het beste van Noord-Midden, (zeer zeldzame) 3e positie, gaat mee in Zuid</t>
        </r>
      </text>
    </comment>
    <comment ref="B17" authorId="0" shapeId="0" xr:uid="{00000000-0006-0000-0000-00000D000000}">
      <text>
        <r>
          <rPr>
            <sz val="11"/>
            <color theme="1"/>
            <rFont val="Aptos Narrow"/>
            <family val="2"/>
            <scheme val="minor"/>
          </rPr>
          <t>Het beste van Zuid, gaat mee in Noord en Midden, de tweede positie</t>
        </r>
      </text>
    </comment>
    <comment ref="B18" authorId="0" shapeId="0" xr:uid="{CB6072BC-02FA-4A3B-993D-E0EB267D39E2}">
      <text>
        <r>
          <rPr>
            <sz val="11"/>
            <color theme="1"/>
            <rFont val="Aptos Narrow"/>
            <family val="2"/>
            <scheme val="minor"/>
          </rPr>
          <t>Het beste van Zuid, gaat mee in Noord en Midden, de tweede positie</t>
        </r>
      </text>
    </comment>
    <comment ref="B19" authorId="0" shapeId="0" xr:uid="{AEA622F7-18F0-4EFA-A34A-14E001426589}">
      <text>
        <r>
          <rPr>
            <sz val="11"/>
            <color theme="1"/>
            <rFont val="Aptos Narrow"/>
            <family val="2"/>
            <scheme val="minor"/>
          </rPr>
          <t>Het beste van Zuid, gaat mee in Noord en Midden, eventuele derde positie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<sst xmlns="http://schemas.openxmlformats.org/spreadsheetml/2006/main" count="165" uniqueCount="87">
  <si>
    <t>Positie</t>
  </si>
  <si>
    <t>Naam van positie</t>
  </si>
  <si>
    <t>Verschijningsvorm</t>
  </si>
  <si>
    <t>Advertentie 1</t>
  </si>
  <si>
    <t>Advertentie 2</t>
  </si>
  <si>
    <t>Defaultwaarde</t>
  </si>
  <si>
    <t xml:space="preserve">Aantal pagina's </t>
  </si>
  <si>
    <t>Advertenties</t>
  </si>
  <si>
    <t xml:space="preserve">Advertentieaanbod </t>
  </si>
  <si>
    <t xml:space="preserve">Advertentieaanbod_tweede keus </t>
  </si>
  <si>
    <t xml:space="preserve">Advertentieaanbod_derde keus </t>
  </si>
  <si>
    <t>Gewenste templatesoort</t>
  </si>
  <si>
    <t>(Totaal pagina's met unieke content)</t>
  </si>
  <si>
    <t>NM-NO</t>
  </si>
  <si>
    <t>Regiospread Noord</t>
  </si>
  <si>
    <t>Spread</t>
  </si>
  <si>
    <t>Geen</t>
  </si>
  <si>
    <t>NM-MI</t>
  </si>
  <si>
    <t>Regiospread Midden</t>
  </si>
  <si>
    <t>ZU-SG</t>
  </si>
  <si>
    <t>Regiospread Sittard</t>
  </si>
  <si>
    <t>ZU-MH</t>
  </si>
  <si>
    <t>Regiospread Maastricht/H</t>
  </si>
  <si>
    <t>ZU-PS</t>
  </si>
  <si>
    <t>Regiospread Parkstad</t>
  </si>
  <si>
    <t>ND-01</t>
  </si>
  <si>
    <t>Nieuwsdienstpagina</t>
  </si>
  <si>
    <t>ND-02</t>
  </si>
  <si>
    <t>Nieuwsdienstpagina 2</t>
  </si>
  <si>
    <t>niet</t>
  </si>
  <si>
    <t>Enkele pagina</t>
  </si>
  <si>
    <t>Niet</t>
  </si>
  <si>
    <t>Gewenste advertentiepositie</t>
  </si>
  <si>
    <t>W13+W17</t>
  </si>
  <si>
    <t>W4</t>
  </si>
  <si>
    <t>W17+W23</t>
  </si>
  <si>
    <t>W23+W32</t>
  </si>
  <si>
    <t>W16</t>
  </si>
  <si>
    <t>W23+W29</t>
  </si>
  <si>
    <t>W29+W29</t>
  </si>
  <si>
    <t>W17</t>
  </si>
  <si>
    <t>W29+W32</t>
  </si>
  <si>
    <t>W32+W32</t>
  </si>
  <si>
    <t>W21</t>
  </si>
  <si>
    <t>W29+W35</t>
  </si>
  <si>
    <t>W23</t>
  </si>
  <si>
    <t>W29+W37</t>
  </si>
  <si>
    <t>W29+W39</t>
  </si>
  <si>
    <t>W35+W35</t>
  </si>
  <si>
    <t>W29</t>
  </si>
  <si>
    <t>W35+W37</t>
  </si>
  <si>
    <t>W35+W39</t>
  </si>
  <si>
    <t>W37+W37</t>
  </si>
  <si>
    <t>W32</t>
  </si>
  <si>
    <t>W37+W39</t>
  </si>
  <si>
    <t>W37+W41</t>
  </si>
  <si>
    <t>W39+W39</t>
  </si>
  <si>
    <t>W36; W35</t>
  </si>
  <si>
    <t>W39+W41</t>
  </si>
  <si>
    <t>W36</t>
  </si>
  <si>
    <t>W36+W36</t>
  </si>
  <si>
    <t>Geen+Geen</t>
  </si>
  <si>
    <t>W00</t>
  </si>
  <si>
    <t>ND-03</t>
  </si>
  <si>
    <t>Nieuwsdienstpagina 3</t>
  </si>
  <si>
    <t xml:space="preserve">Advertentieaanbod_vierde keus </t>
  </si>
  <si>
    <t>ZU-U1</t>
  </si>
  <si>
    <t>NM-U1</t>
  </si>
  <si>
    <t>ZU-U2</t>
  </si>
  <si>
    <t>ZU-U3</t>
  </si>
  <si>
    <t>ZU-U4</t>
  </si>
  <si>
    <t>NM-U2</t>
  </si>
  <si>
    <t>NM-U3</t>
  </si>
  <si>
    <t>NM-U4</t>
  </si>
  <si>
    <t>NM-U5</t>
  </si>
  <si>
    <t>ZU-U5</t>
  </si>
  <si>
    <t>Uitwisselpositie Zuid 2</t>
  </si>
  <si>
    <t>Uitwisselpositie Zuid 3</t>
  </si>
  <si>
    <t>Uitwisselpositie Zuid 4</t>
  </si>
  <si>
    <t>Uitwisselpositie Zuid 5</t>
  </si>
  <si>
    <t>Uitwisselpositie NM 2</t>
  </si>
  <si>
    <t>Uitwisselpositie NM 3</t>
  </si>
  <si>
    <t>Uitwisselpositie NM 4</t>
  </si>
  <si>
    <t>Uitwisselpositie NM 5</t>
  </si>
  <si>
    <t>Laatste Run</t>
  </si>
  <si>
    <t>Overloop Zuid</t>
  </si>
  <si>
    <t xml:space="preserve">Overloop Noord/Midden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</si>
</sst>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1"/>
      <color theme="0" tint="-0.249977111117893"/>
      <name val="Aptos Narrow"/>
      <family val="2"/>
      <scheme val="minor"/>
    </font>
    <font>
      <sz val="11"/>
      <color theme="0" tint="-0.249977111117893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/>
      <right style="thin">
        <color theme="2" tint="-9.9978637043366805E-2"/>
      </right>
      <top style="thin">
        <color indexed="64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indexed="64"/>
      </top>
      <bottom style="thin">
        <color theme="2" tint="-9.9978637043366805E-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Protection="1">
      <protection locked="0"/>
    </xf>
    <xf numFmtId="0" fontId="3" fillId="3" borderId="0" xfId="0" applyFont="1" applyFill="1" applyProtection="1">
      <protection locked="0"/>
    </xf>
    <xf numFmtId="1" fontId="3" fillId="3" borderId="1" xfId="0" applyNumberFormat="1" applyFont="1" applyFill="1" applyBorder="1" applyProtection="1">
      <protection locked="0"/>
    </xf>
    <xf numFmtId="0" fontId="3" fillId="3" borderId="2" xfId="0" applyFont="1" applyFill="1" applyBorder="1" applyProtection="1">
      <protection locked="0"/>
    </xf>
    <xf numFmtId="0" fontId="4" fillId="3" borderId="0" xfId="0" applyFont="1" applyFill="1" applyProtection="1">
      <protection locked="0"/>
    </xf>
    <xf numFmtId="1" fontId="4" fillId="3" borderId="0" xfId="0" applyNumberFormat="1" applyFont="1" applyFill="1" applyProtection="1">
      <protection locked="0"/>
    </xf>
    <xf numFmtId="0" fontId="1" fillId="2" borderId="3" xfId="0" applyFont="1" applyFill="1" applyBorder="1" applyProtection="1">
      <protection locked="0"/>
    </xf>
    <xf numFmtId="0" fontId="1" fillId="2" borderId="4" xfId="0" applyFont="1" applyFill="1" applyBorder="1" applyProtection="1">
      <protection locked="0"/>
    </xf>
    <xf numFmtId="0" fontId="1" fillId="2" borderId="5" xfId="0" applyFont="1" applyFill="1" applyBorder="1" applyProtection="1">
      <protection locked="0"/>
    </xf>
    <xf numFmtId="0" fontId="2" fillId="0" borderId="6" xfId="0" applyFont="1" applyBorder="1" applyProtection="1">
      <protection locked="0"/>
    </xf>
    <xf numFmtId="0" fontId="2" fillId="0" borderId="0" xfId="0" applyFont="1" applyProtection="1">
      <protection locked="0"/>
    </xf>
    <xf numFmtId="0" fontId="2" fillId="0" borderId="7" xfId="0" applyFont="1" applyBorder="1" applyProtection="1">
      <protection locked="0"/>
    </xf>
    <xf numFmtId="0" fontId="2" fillId="0" borderId="0" xfId="0" quotePrefix="1" applyFont="1" applyProtection="1">
      <protection locked="0"/>
    </xf>
    <xf numFmtId="0" fontId="2" fillId="4" borderId="6" xfId="0" applyFont="1" applyFill="1" applyBorder="1" applyProtection="1">
      <protection locked="0"/>
    </xf>
    <xf numFmtId="0" fontId="2" fillId="4" borderId="0" xfId="0" applyFont="1" applyFill="1" applyProtection="1">
      <protection locked="0"/>
    </xf>
    <xf numFmtId="0" fontId="2" fillId="4" borderId="7" xfId="0" applyFont="1" applyFill="1" applyBorder="1" applyProtection="1">
      <protection locked="0"/>
    </xf>
    <xf numFmtId="0" fontId="2" fillId="4" borderId="8" xfId="0" applyFont="1" applyFill="1" applyBorder="1" applyProtection="1">
      <protection locked="0"/>
    </xf>
    <xf numFmtId="0" fontId="2" fillId="4" borderId="9" xfId="0" applyFont="1" applyFill="1" applyBorder="1" applyProtection="1">
      <protection locked="0"/>
    </xf>
    <xf numFmtId="0" fontId="2" fillId="4" borderId="10" xfId="0" applyFont="1" applyFill="1" applyBorder="1" applyProtection="1">
      <protection locked="0"/>
    </xf>
    <xf numFmtId="0" fontId="2" fillId="4" borderId="0" xfId="0" quotePrefix="1" applyFont="1" applyFill="1" applyProtection="1">
      <protection locked="0"/>
    </xf>
    <xf numFmtId="0" fontId="3" fillId="3" borderId="0" xfId="0" applyFont="1" applyFill="1"/>
    <xf numFmtId="0" fontId="4" fillId="3" borderId="0" xfId="0" applyFont="1" applyFill="1"/>
    <xf numFmtId="0" fontId="4" fillId="3" borderId="0" xfId="0" applyFont="1" applyFill="1" applyAlignment="1">
      <alignment wrapText="1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9"/>
  <sheetViews>
    <sheetView tabSelected="1" zoomScale="85" zoomScaleNormal="85" workbookViewId="0">
      <selection activeCell="B4" sqref="B4"/>
    </sheetView>
  </sheetViews>
  <sheetFormatPr defaultRowHeight="15" x14ac:dyDescent="0.25"/>
  <cols>
    <col min="1" max="1" width="15.140625" customWidth="1"/>
    <col min="2" max="2" width="39.140625" customWidth="1"/>
    <col min="3" max="3" width="30.7109375" customWidth="1"/>
    <col min="4" max="4" width="26" customWidth="1"/>
    <col min="5" max="5" width="26.5703125" customWidth="1"/>
    <col min="6" max="6" width="14.28515625" customWidth="1"/>
    <col min="7" max="7" width="14.140625" customWidth="1"/>
    <col min="8" max="8" width="12.7109375" customWidth="1"/>
    <col min="9" max="9" width="18.5703125" customWidth="1"/>
    <col min="10" max="10" width="31.28515625" customWidth="1"/>
    <col min="11" max="11" width="30.140625" customWidth="1"/>
    <col min="12" max="12" width="23.5703125" customWidth="1"/>
    <col min="13" max="13" width="9.28515625" customWidth="1"/>
    <col min="14" max="14" width="32.7109375" customWidth="1"/>
    <col min="15" max="15" width="23.5703125" customWidth="1"/>
  </cols>
  <sheetData>
    <row r="1" spans="1:15" ht="30" customHeight="1" x14ac:dyDescent="0.4">
      <c r="A1" s="7" t="s">
        <v>0</v>
      </c>
      <c r="B1" s="8" t="s">
        <v>1</v>
      </c>
      <c r="C1" s="8" t="s">
        <v>2</v>
      </c>
      <c r="D1" s="8" t="s">
        <v>3</v>
      </c>
      <c r="E1" s="9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65</v>
      </c>
      <c r="M1" s="3">
        <f>SUM(G2:G11)</f>
        <v>16</v>
      </c>
      <c r="N1" s="4" t="s">
        <v>11</v>
      </c>
      <c r="O1" s="21" t="s">
        <v>84</v>
      </c>
    </row>
    <row r="2" spans="1:15" ht="30" customHeight="1" x14ac:dyDescent="0.3">
      <c r="A2" s="14" t="s">
        <v>13</v>
      </c>
      <c r="B2" s="15" t="s">
        <v>14</v>
      </c>
      <c r="C2" s="15" t="s">
        <v>15</v>
      </c>
      <c r="D2" s="15" t="s">
        <v>16</v>
      </c>
      <c r="E2" s="16" t="s">
        <v>16</v>
      </c>
      <c r="F2" s="5" t="s">
        <v>15</v>
      </c>
      <c r="G2" s="6">
        <f t="shared" ref="G2:G17" si="0">IF(C2="Spread",2,IF(C2="Enkele pagina",1,IF(C2="Niet",0,"")))</f>
        <v>2</v>
      </c>
      <c r="H2" s="5" t="str">
        <f t="shared" ref="H2:H17" si="1">IF(AND(OR(D2="Geen",D2=""),OR(E2="Geen",E2="")),"W00",IF(OR(D2="Geen",D2=""),TRIM(LEFT(E2,3)),IF(OR(E2="Geen",E2=""),TRIM(LEFT(D2,3)),IF(VALUE(MID(TRIM(LEFT(D2,3)),2,99))&lt;=VALUE(MID(TRIM(LEFT(E2,3)),2,99)),TRIM(LEFT(D2,3))&amp;"+" &amp;TRIM(LEFT(E2,3)),TRIM(LEFT(E2,3))&amp;"+" &amp;TRIM(LEFT(D2,3))))))</f>
        <v>W00</v>
      </c>
      <c r="I2" s="5" t="str">
        <f>IF(H2="","",IFERROR(H2 &amp; "; " &amp; VLOOKUP(H2,Mapping_Gewenst!$A$2:$B$20,2,FALSE),H2))</f>
        <v>W00</v>
      </c>
      <c r="J2" s="5" t="str">
        <f t="shared" ref="J2:J17" si="2">IF(OR(H2="",H2="Geen"),"",IF(H2&lt;&gt;"W00",H2,"W32"))</f>
        <v>W32</v>
      </c>
      <c r="K2" s="5" t="str">
        <f t="shared" ref="K2:K17" si="3">IF(OR(H2="",H2="Geen"),"",IF(H2&lt;&gt;"W00",H2,"W23"))</f>
        <v>W23</v>
      </c>
      <c r="L2" s="5" t="str">
        <f>IF(OR(I2="",H2="Geen"),"",IF(H2&lt;&gt;"W00",H2,"W16"))</f>
        <v>W16</v>
      </c>
      <c r="M2" s="2" t="s">
        <v>12</v>
      </c>
      <c r="N2" s="5" t="str">
        <f>IF(C2="Spread","Spread; Combinatie; Combi_noodgreep",IF(C2="Enkele pagina","Enkele pagina",IF(C2="niet",NA(),"")))</f>
        <v>Spread; Combinatie; Combi_noodgreep</v>
      </c>
      <c r="O2" s="22"/>
    </row>
    <row r="3" spans="1:15" ht="30" customHeight="1" x14ac:dyDescent="0.3">
      <c r="A3" s="14" t="s">
        <v>17</v>
      </c>
      <c r="B3" s="15" t="s">
        <v>18</v>
      </c>
      <c r="C3" s="15" t="s">
        <v>15</v>
      </c>
      <c r="D3" s="15" t="s">
        <v>16</v>
      </c>
      <c r="E3" s="16" t="s">
        <v>16</v>
      </c>
      <c r="F3" s="5" t="s">
        <v>15</v>
      </c>
      <c r="G3" s="6">
        <f t="shared" si="0"/>
        <v>2</v>
      </c>
      <c r="H3" s="5" t="str">
        <f t="shared" si="1"/>
        <v>W00</v>
      </c>
      <c r="I3" s="5" t="str">
        <f>IF(H3="","",IFERROR(H3 &amp; "; " &amp; VLOOKUP(H3,Mapping_Gewenst!$A$2:$B$20,2,FALSE),H3))</f>
        <v>W00</v>
      </c>
      <c r="J3" s="5" t="str">
        <f t="shared" si="2"/>
        <v>W32</v>
      </c>
      <c r="K3" s="5" t="str">
        <f t="shared" si="3"/>
        <v>W23</v>
      </c>
      <c r="L3" s="5" t="str">
        <f t="shared" ref="L3:L19" si="4">IF(OR(I3="",H3="Geen"),"",IF(H3&lt;&gt;"W00",H3,"W16"))</f>
        <v>W16</v>
      </c>
      <c r="M3" s="5"/>
      <c r="N3" s="5" t="str">
        <f t="shared" ref="N3:N19" si="5">IF(C3="Spread","Spread; Combinatie; Combi_noodgreep",IF(C3="Enkele pagina","Enkele pagina",IF(C3="niet",NA(),"")))</f>
        <v>Spread; Combinatie; Combi_noodgreep</v>
      </c>
      <c r="O3" s="22"/>
    </row>
    <row r="4" spans="1:15" ht="30" customHeight="1" x14ac:dyDescent="0.3">
      <c r="A4" s="14" t="s">
        <v>67</v>
      </c>
      <c r="B4" s="20" t="s">
        <v>86</v>
      </c>
      <c r="C4" s="15" t="s">
        <v>15</v>
      </c>
      <c r="D4" s="15" t="s">
        <v>16</v>
      </c>
      <c r="E4" s="16" t="s">
        <v>16</v>
      </c>
      <c r="F4" s="5" t="s">
        <v>15</v>
      </c>
      <c r="G4" s="6">
        <f t="shared" si="0"/>
        <v>2</v>
      </c>
      <c r="H4" s="5" t="str">
        <f t="shared" si="1"/>
        <v>W00</v>
      </c>
      <c r="I4" s="5" t="str">
        <f>IF(H4="","",IFERROR(H4 &amp; "; " &amp; VLOOKUP(H4,Mapping_Gewenst!$A$2:$B$20,2,FALSE),H4))</f>
        <v>W00</v>
      </c>
      <c r="J4" s="5" t="str">
        <f t="shared" si="2"/>
        <v>W32</v>
      </c>
      <c r="K4" s="5" t="str">
        <f t="shared" si="3"/>
        <v>W23</v>
      </c>
      <c r="L4" s="5" t="str">
        <f t="shared" si="4"/>
        <v>W16</v>
      </c>
      <c r="M4" s="5"/>
      <c r="N4" s="5" t="str">
        <f t="shared" si="5"/>
        <v>Spread; Combinatie; Combi_noodgreep</v>
      </c>
      <c r="O4" s="23" t="str" cm="1">
        <f t="array" ref="O4">IF($C4="niet","",
  IF(
    1+SUMPRODUCT(
      --(CHOOSE({1;2;3;4;5},$C$4,$C$16,$C$17,$C$18,$C$19)&lt;&gt;"niet")*
      --(--RIGHT(CHOOSE({1;2;3;4;5},$A$4,$A$16,$A$17,$A$18,$A$19),1) &gt; --RIGHT($A4,1))
    )=1,
    "laatste",
    IF(
      1+SUMPRODUCT(
        --(CHOOSE({1;2;3;4;5},$C$4,$C$16,$C$17,$C$18,$C$19)&lt;&gt;"niet")*
        --(--RIGHT(CHOOSE({1;2;3;4;5},$A$4,$A$16,$A$17,$A$18,$A$19),1) &gt; --RIGHT($A4,1))
      )=2,
      "voorlaatste",
      ""
    )
  )
)</f>
        <v/>
      </c>
    </row>
    <row r="5" spans="1:15" ht="30" customHeight="1" x14ac:dyDescent="0.3">
      <c r="A5" s="10" t="s">
        <v>19</v>
      </c>
      <c r="B5" s="11" t="s">
        <v>20</v>
      </c>
      <c r="C5" s="11" t="s">
        <v>15</v>
      </c>
      <c r="D5" s="11" t="s">
        <v>16</v>
      </c>
      <c r="E5" s="12" t="s">
        <v>16</v>
      </c>
      <c r="F5" s="5" t="s">
        <v>15</v>
      </c>
      <c r="G5" s="6">
        <f t="shared" si="0"/>
        <v>2</v>
      </c>
      <c r="H5" s="5" t="str">
        <f t="shared" si="1"/>
        <v>W00</v>
      </c>
      <c r="I5" s="5" t="str">
        <f>IF(H5="","",IFERROR(H5 &amp; "; " &amp; VLOOKUP(H5,Mapping_Gewenst!$A$2:$B$20,2,FALSE),H5))</f>
        <v>W00</v>
      </c>
      <c r="J5" s="5" t="str">
        <f t="shared" si="2"/>
        <v>W32</v>
      </c>
      <c r="K5" s="5" t="str">
        <f t="shared" si="3"/>
        <v>W23</v>
      </c>
      <c r="L5" s="5" t="str">
        <f t="shared" si="4"/>
        <v>W16</v>
      </c>
      <c r="M5" s="5"/>
      <c r="N5" s="5" t="str">
        <f t="shared" si="5"/>
        <v>Spread; Combinatie; Combi_noodgreep</v>
      </c>
      <c r="O5" s="22"/>
    </row>
    <row r="6" spans="1:15" ht="30" customHeight="1" x14ac:dyDescent="0.3">
      <c r="A6" s="10" t="s">
        <v>21</v>
      </c>
      <c r="B6" s="11" t="s">
        <v>22</v>
      </c>
      <c r="C6" s="11" t="s">
        <v>15</v>
      </c>
      <c r="D6" s="11" t="s">
        <v>16</v>
      </c>
      <c r="E6" s="12" t="s">
        <v>16</v>
      </c>
      <c r="F6" s="5" t="s">
        <v>15</v>
      </c>
      <c r="G6" s="6">
        <f t="shared" si="0"/>
        <v>2</v>
      </c>
      <c r="H6" s="5" t="str">
        <f t="shared" si="1"/>
        <v>W00</v>
      </c>
      <c r="I6" s="5" t="str">
        <f>IF(H6="","",IFERROR(H6 &amp; "; " &amp; VLOOKUP(H6,Mapping_Gewenst!$A$2:$B$20,2,FALSE),H6))</f>
        <v>W00</v>
      </c>
      <c r="J6" s="5" t="str">
        <f t="shared" si="2"/>
        <v>W32</v>
      </c>
      <c r="K6" s="5" t="str">
        <f t="shared" si="3"/>
        <v>W23</v>
      </c>
      <c r="L6" s="5" t="str">
        <f t="shared" si="4"/>
        <v>W16</v>
      </c>
      <c r="M6" s="5"/>
      <c r="N6" s="5" t="str">
        <f t="shared" si="5"/>
        <v>Spread; Combinatie; Combi_noodgreep</v>
      </c>
      <c r="O6" s="22"/>
    </row>
    <row r="7" spans="1:15" ht="30" customHeight="1" x14ac:dyDescent="0.3">
      <c r="A7" s="10" t="s">
        <v>23</v>
      </c>
      <c r="B7" s="11" t="s">
        <v>24</v>
      </c>
      <c r="C7" s="11" t="s">
        <v>15</v>
      </c>
      <c r="D7" s="11" t="s">
        <v>16</v>
      </c>
      <c r="E7" s="12" t="s">
        <v>16</v>
      </c>
      <c r="F7" s="5" t="s">
        <v>15</v>
      </c>
      <c r="G7" s="6">
        <f t="shared" si="0"/>
        <v>2</v>
      </c>
      <c r="H7" s="5" t="str">
        <f t="shared" si="1"/>
        <v>W00</v>
      </c>
      <c r="I7" s="5" t="str">
        <f>IF(H7="","",IFERROR(H7 &amp; "; " &amp; VLOOKUP(H7,Mapping_Gewenst!$A$2:$B$20,2,FALSE),H7))</f>
        <v>W00</v>
      </c>
      <c r="J7" s="5" t="str">
        <f t="shared" si="2"/>
        <v>W32</v>
      </c>
      <c r="K7" s="5" t="str">
        <f t="shared" si="3"/>
        <v>W23</v>
      </c>
      <c r="L7" s="5" t="str">
        <f t="shared" si="4"/>
        <v>W16</v>
      </c>
      <c r="M7" s="5"/>
      <c r="N7" s="5" t="str">
        <f t="shared" si="5"/>
        <v>Spread; Combinatie; Combi_noodgreep</v>
      </c>
      <c r="O7" s="22"/>
    </row>
    <row r="8" spans="1:15" ht="30" customHeight="1" x14ac:dyDescent="0.3">
      <c r="A8" s="10" t="s">
        <v>66</v>
      </c>
      <c r="B8" s="13" t="s">
        <v>85</v>
      </c>
      <c r="C8" s="11" t="s">
        <v>15</v>
      </c>
      <c r="D8" s="11" t="s">
        <v>16</v>
      </c>
      <c r="E8" s="12" t="s">
        <v>16</v>
      </c>
      <c r="F8" s="5" t="s">
        <v>15</v>
      </c>
      <c r="G8" s="6">
        <f t="shared" si="0"/>
        <v>2</v>
      </c>
      <c r="H8" s="5" t="str">
        <f t="shared" si="1"/>
        <v>W00</v>
      </c>
      <c r="I8" s="5" t="str">
        <f>IF(H8="","",IFERROR(H8 &amp; "; " &amp; VLOOKUP(H8,Mapping_Gewenst!$A$2:$B$20,2,FALSE),H8))</f>
        <v>W00</v>
      </c>
      <c r="J8" s="5" t="str">
        <f t="shared" si="2"/>
        <v>W32</v>
      </c>
      <c r="K8" s="5" t="str">
        <f t="shared" si="3"/>
        <v>W23</v>
      </c>
      <c r="L8" s="5" t="str">
        <f t="shared" si="4"/>
        <v>W16</v>
      </c>
      <c r="M8" s="5"/>
      <c r="N8" s="5" t="str">
        <f t="shared" si="5"/>
        <v>Spread; Combinatie; Combi_noodgreep</v>
      </c>
      <c r="O8" s="22" t="str" cm="1">
        <f t="array" ref="O8">IF($C8="niet","",
  IF(1+SUMPRODUCT(--(IF(CHOOSE({1;2;3;4;5},$C$8,$C$12,$C$13,$C$14,$C$15)&lt;&gt;"niet",
                         --RIGHT(CHOOSE({1;2;3;4;5},$A$8,$A$12,$A$13,$A$14,$A$15),1),
                         -1)
                      &gt;--RIGHT($A8,1)))=1,
     "laatste",
     IF(1+SUMPRODUCT(--(IF(CHOOSE({1;2;3;4;5},$C$8,$C$12,$C$13,$C$14,$C$15)&lt;&gt;"niet",
                            --RIGHT(CHOOSE({1;2;3;4;5},$A$8,$A$12,$A$13,$A$14,$A$15),1),
                            -1)
                         &gt;--RIGHT($A8,1)))=2,
        "voorlaatste",
        ""
     )
  )
)</f>
        <v>voorlaatste</v>
      </c>
    </row>
    <row r="9" spans="1:15" ht="30" customHeight="1" x14ac:dyDescent="0.3">
      <c r="A9" s="14" t="s">
        <v>25</v>
      </c>
      <c r="B9" s="15" t="s">
        <v>26</v>
      </c>
      <c r="C9" s="15" t="s">
        <v>15</v>
      </c>
      <c r="D9" s="15" t="s">
        <v>16</v>
      </c>
      <c r="E9" s="16" t="s">
        <v>16</v>
      </c>
      <c r="F9" s="5" t="s">
        <v>15</v>
      </c>
      <c r="G9" s="6">
        <f t="shared" si="0"/>
        <v>2</v>
      </c>
      <c r="H9" s="5" t="str">
        <f t="shared" si="1"/>
        <v>W00</v>
      </c>
      <c r="I9" s="5" t="str">
        <f>IF(H9="","",IFERROR(H9 &amp; "; " &amp; VLOOKUP(H9,Mapping_Gewenst!$A$2:$B$20,2,FALSE),H9))</f>
        <v>W00</v>
      </c>
      <c r="J9" s="5" t="str">
        <f t="shared" si="2"/>
        <v>W32</v>
      </c>
      <c r="K9" s="5" t="str">
        <f t="shared" si="3"/>
        <v>W23</v>
      </c>
      <c r="L9" s="5" t="str">
        <f t="shared" si="4"/>
        <v>W16</v>
      </c>
      <c r="M9" s="5"/>
      <c r="N9" s="5" t="str">
        <f t="shared" si="5"/>
        <v>Spread; Combinatie; Combi_noodgreep</v>
      </c>
      <c r="O9" s="22"/>
    </row>
    <row r="10" spans="1:15" ht="30" customHeight="1" x14ac:dyDescent="0.3">
      <c r="A10" s="14" t="s">
        <v>27</v>
      </c>
      <c r="B10" s="15" t="s">
        <v>28</v>
      </c>
      <c r="C10" s="15" t="s">
        <v>29</v>
      </c>
      <c r="D10" s="15" t="s">
        <v>16</v>
      </c>
      <c r="E10" s="16" t="s">
        <v>16</v>
      </c>
      <c r="F10" s="5" t="s">
        <v>29</v>
      </c>
      <c r="G10" s="6">
        <f t="shared" si="0"/>
        <v>0</v>
      </c>
      <c r="H10" s="5" t="str">
        <f t="shared" si="1"/>
        <v>W00</v>
      </c>
      <c r="I10" s="5" t="str">
        <f>IF(H10="","",IFERROR(H10 &amp; "; " &amp; VLOOKUP(H10,Mapping_Gewenst!$A$2:$B$20,2,FALSE),H10))</f>
        <v>W00</v>
      </c>
      <c r="J10" s="5" t="str">
        <f t="shared" si="2"/>
        <v>W32</v>
      </c>
      <c r="K10" s="5" t="str">
        <f t="shared" si="3"/>
        <v>W23</v>
      </c>
      <c r="L10" s="5" t="str">
        <f t="shared" si="4"/>
        <v>W16</v>
      </c>
      <c r="M10" s="5"/>
      <c r="N10" s="5" t="e">
        <f t="shared" si="5"/>
        <v>#N/A</v>
      </c>
      <c r="O10" s="22"/>
    </row>
    <row r="11" spans="1:15" ht="30" customHeight="1" x14ac:dyDescent="0.3">
      <c r="A11" s="14" t="s">
        <v>63</v>
      </c>
      <c r="B11" s="15" t="s">
        <v>64</v>
      </c>
      <c r="C11" s="15" t="s">
        <v>29</v>
      </c>
      <c r="D11" s="15" t="s">
        <v>16</v>
      </c>
      <c r="E11" s="16" t="s">
        <v>16</v>
      </c>
      <c r="F11" s="5" t="s">
        <v>29</v>
      </c>
      <c r="G11" s="6">
        <f t="shared" ref="G11" si="6">IF(C11="Spread",2,IF(C11="Enkele pagina",1,IF(C11="Niet",0,"")))</f>
        <v>0</v>
      </c>
      <c r="H11" s="5" t="str">
        <f t="shared" ref="H11" si="7">IF(AND(OR(D11="Geen",D11=""),OR(E11="Geen",E11="")),"W00",IF(OR(D11="Geen",D11=""),TRIM(LEFT(E11,3)),IF(OR(E11="Geen",E11=""),TRIM(LEFT(D11,3)),IF(VALUE(MID(TRIM(LEFT(D11,3)),2,99))&lt;=VALUE(MID(TRIM(LEFT(E11,3)),2,99)),TRIM(LEFT(D11,3))&amp;"+" &amp;TRIM(LEFT(E11,3)),TRIM(LEFT(E11,3))&amp;"+" &amp;TRIM(LEFT(D11,3))))))</f>
        <v>W00</v>
      </c>
      <c r="I11" s="5" t="str">
        <f>IF(H11="","",IFERROR(H11 &amp; "; " &amp; VLOOKUP(H11,Mapping_Gewenst!$A$2:$B$20,2,FALSE),H11))</f>
        <v>W00</v>
      </c>
      <c r="J11" s="5" t="str">
        <f t="shared" ref="J11:J12" si="8">IF(OR(H11="",H11="Geen"),"",IF(H11&lt;&gt;"W00",H11,"W32"))</f>
        <v>W32</v>
      </c>
      <c r="K11" s="5" t="str">
        <f t="shared" ref="K11:K12" si="9">IF(OR(H11="",H11="Geen"),"",IF(H11&lt;&gt;"W00",H11,"W23"))</f>
        <v>W23</v>
      </c>
      <c r="L11" s="5" t="str">
        <f t="shared" si="4"/>
        <v>W16</v>
      </c>
      <c r="M11" s="5"/>
      <c r="N11" s="5" t="e">
        <f t="shared" si="5"/>
        <v>#N/A</v>
      </c>
      <c r="O11" s="22"/>
    </row>
    <row r="12" spans="1:15" ht="30" customHeight="1" x14ac:dyDescent="0.3">
      <c r="A12" s="10" t="s">
        <v>68</v>
      </c>
      <c r="B12" s="11" t="s">
        <v>76</v>
      </c>
      <c r="C12" s="11" t="s">
        <v>30</v>
      </c>
      <c r="D12" s="11" t="s">
        <v>16</v>
      </c>
      <c r="E12" s="12" t="s">
        <v>16</v>
      </c>
      <c r="F12" s="5" t="s">
        <v>30</v>
      </c>
      <c r="G12" s="6">
        <f t="shared" si="0"/>
        <v>1</v>
      </c>
      <c r="H12" s="5" t="str">
        <f t="shared" si="1"/>
        <v>W00</v>
      </c>
      <c r="I12" s="5" t="str">
        <f>IF(H12="","",IFERROR(H12 &amp; "; " &amp; VLOOKUP(H12,Mapping_Gewenst!$A$2:$B$20,2,FALSE),H12))</f>
        <v>W00</v>
      </c>
      <c r="J12" s="5" t="str">
        <f t="shared" si="8"/>
        <v>W32</v>
      </c>
      <c r="K12" s="5" t="str">
        <f t="shared" si="9"/>
        <v>W23</v>
      </c>
      <c r="L12" s="5" t="str">
        <f t="shared" ref="L12" si="10">IF(OR(I12="",H12="Geen"),"",IF(H12&lt;&gt;"W00",H12,"W16"))</f>
        <v>W16</v>
      </c>
      <c r="M12" s="5"/>
      <c r="N12" s="5" t="str">
        <f t="shared" si="5"/>
        <v>Enkele pagina</v>
      </c>
      <c r="O12" s="22" t="str" cm="1">
        <f t="array" ref="O12">IF($C12="niet","",
  IF(1+SUMPRODUCT(--(IF(CHOOSE({1;2;3;4;5},$C$8,$C$12,$C$13,$C$14,$C$15)&lt;&gt;"niet",
                         --RIGHT(CHOOSE({1;2;3;4;5},$A$8,$A$12,$A$13,$A$14,$A$15),1),
                         -1)
                      &gt;--RIGHT($A12,1)))=1,
     "laatste",
     IF(1+SUMPRODUCT(--(IF(CHOOSE({1;2;3;4;5},$C$8,$C$12,$C$13,$C$14,$C$15)&lt;&gt;"niet",
                            --RIGHT(CHOOSE({1;2;3;4;5},$A$8,$A$12,$A$13,$A$14,$A$15),1),
                            -1)
                         &gt;--RIGHT($A12,1)))=2,
        "voorlaatste",
        ""
     )
  )
)</f>
        <v>laatste</v>
      </c>
    </row>
    <row r="13" spans="1:15" ht="30" customHeight="1" x14ac:dyDescent="0.3">
      <c r="A13" s="10" t="s">
        <v>69</v>
      </c>
      <c r="B13" s="11" t="s">
        <v>77</v>
      </c>
      <c r="C13" s="11" t="s">
        <v>29</v>
      </c>
      <c r="D13" s="11" t="s">
        <v>16</v>
      </c>
      <c r="E13" s="12" t="s">
        <v>16</v>
      </c>
      <c r="F13" s="5" t="s">
        <v>31</v>
      </c>
      <c r="G13" s="6">
        <f t="shared" si="0"/>
        <v>0</v>
      </c>
      <c r="H13" s="5" t="str">
        <f t="shared" si="1"/>
        <v>W00</v>
      </c>
      <c r="I13" s="5" t="str">
        <f>IF(H13="","",IFERROR(H13 &amp; "; " &amp; VLOOKUP(H13,Mapping_Gewenst!$A$2:$B$20,2,FALSE),H13))</f>
        <v>W00</v>
      </c>
      <c r="J13" s="5" t="str">
        <f t="shared" si="2"/>
        <v>W32</v>
      </c>
      <c r="K13" s="5" t="str">
        <f t="shared" si="3"/>
        <v>W23</v>
      </c>
      <c r="L13" s="5" t="str">
        <f t="shared" si="4"/>
        <v>W16</v>
      </c>
      <c r="M13" s="5"/>
      <c r="N13" s="5" t="e">
        <f t="shared" si="5"/>
        <v>#N/A</v>
      </c>
      <c r="O13" s="22" t="str" cm="1">
        <f t="array" ref="O13">IF($C13="niet","",
  IF(1+SUMPRODUCT(--(IF(CHOOSE({1;2;3;4;5},$C$8,$C$12,$C$13,$C$14,$C$15)&lt;&gt;"niet",
                         --RIGHT(CHOOSE({1;2;3;4;5},$A$8,$A$12,$A$13,$A$14,$A$15),1),
                         -1)
                      &gt;--RIGHT($A13,1)))=1,
     "laatste",
     IF(1+SUMPRODUCT(--(IF(CHOOSE({1;2;3;4;5},$C$8,$C$12,$C$13,$C$14,$C$15)&lt;&gt;"niet",
                            --RIGHT(CHOOSE({1;2;3;4;5},$A$8,$A$12,$A$13,$A$14,$A$15),1),
                            -1)
                         &gt;--RIGHT($A13,1)))=2,
        "voorlaatste",
        ""
     )
  )
)</f>
        <v/>
      </c>
    </row>
    <row r="14" spans="1:15" ht="30" customHeight="1" x14ac:dyDescent="0.3">
      <c r="A14" s="10" t="s">
        <v>70</v>
      </c>
      <c r="B14" s="11" t="s">
        <v>78</v>
      </c>
      <c r="C14" s="11" t="s">
        <v>29</v>
      </c>
      <c r="D14" s="11" t="s">
        <v>16</v>
      </c>
      <c r="E14" s="12" t="s">
        <v>16</v>
      </c>
      <c r="F14" s="5" t="s">
        <v>31</v>
      </c>
      <c r="G14" s="6">
        <f t="shared" si="0"/>
        <v>0</v>
      </c>
      <c r="H14" s="5" t="str">
        <f t="shared" si="1"/>
        <v>W00</v>
      </c>
      <c r="I14" s="5" t="str">
        <f>IF(H14="","",IFERROR(H14 &amp; "; " &amp; VLOOKUP(H14,Mapping_Gewenst!$A$2:$B$20,2,FALSE),H14))</f>
        <v>W00</v>
      </c>
      <c r="J14" s="5" t="str">
        <f t="shared" si="2"/>
        <v>W32</v>
      </c>
      <c r="K14" s="5" t="str">
        <f t="shared" si="3"/>
        <v>W23</v>
      </c>
      <c r="L14" s="5" t="str">
        <f t="shared" si="4"/>
        <v>W16</v>
      </c>
      <c r="M14" s="5"/>
      <c r="N14" s="5" t="e">
        <f t="shared" si="5"/>
        <v>#N/A</v>
      </c>
      <c r="O14" s="22" t="str" cm="1">
        <f t="array" ref="O14">IF($C14="niet","",
  IF(1+SUMPRODUCT(--(IF(CHOOSE({1;2;3;4;5},$C$8,$C$12,$C$13,$C$14,$C$15)&lt;&gt;"niet",
                         --RIGHT(CHOOSE({1;2;3;4;5},$A$8,$A$12,$A$13,$A$14,$A$15),1),
                         -1)
                      &gt;--RIGHT($A14,1)))=1,
     "laatste",
     IF(1+SUMPRODUCT(--(IF(CHOOSE({1;2;3;4;5},$C$8,$C$12,$C$13,$C$14,$C$15)&lt;&gt;"niet",
                            --RIGHT(CHOOSE({1;2;3;4;5},$A$8,$A$12,$A$13,$A$14,$A$15),1),
                            -1)
                         &gt;--RIGHT($A14,1)))=2,
        "voorlaatste",
        ""
     )
  )
)</f>
        <v/>
      </c>
    </row>
    <row r="15" spans="1:15" ht="30" customHeight="1" x14ac:dyDescent="0.3">
      <c r="A15" s="10" t="s">
        <v>75</v>
      </c>
      <c r="B15" s="11" t="s">
        <v>79</v>
      </c>
      <c r="C15" s="11" t="s">
        <v>29</v>
      </c>
      <c r="D15" s="11" t="s">
        <v>16</v>
      </c>
      <c r="E15" s="12" t="s">
        <v>16</v>
      </c>
      <c r="F15" s="5" t="s">
        <v>31</v>
      </c>
      <c r="G15" s="6">
        <f t="shared" ref="G15" si="11">IF(C15="Spread",2,IF(C15="Enkele pagina",1,IF(C15="Niet",0,"")))</f>
        <v>0</v>
      </c>
      <c r="H15" s="5" t="str">
        <f t="shared" ref="H15" si="12">IF(AND(OR(D15="Geen",D15=""),OR(E15="Geen",E15="")),"W00",IF(OR(D15="Geen",D15=""),TRIM(LEFT(E15,3)),IF(OR(E15="Geen",E15=""),TRIM(LEFT(D15,3)),IF(VALUE(MID(TRIM(LEFT(D15,3)),2,99))&lt;=VALUE(MID(TRIM(LEFT(E15,3)),2,99)),TRIM(LEFT(D15,3))&amp;"+" &amp;TRIM(LEFT(E15,3)),TRIM(LEFT(E15,3))&amp;"+" &amp;TRIM(LEFT(D15,3))))))</f>
        <v>W00</v>
      </c>
      <c r="I15" s="5" t="str">
        <f>IF(H15="","",IFERROR(H15 &amp; "; " &amp; VLOOKUP(H15,Mapping_Gewenst!$A$2:$B$20,2,FALSE),H15))</f>
        <v>W00</v>
      </c>
      <c r="J15" s="5" t="str">
        <f t="shared" ref="J15" si="13">IF(OR(H15="",H15="Geen"),"",IF(H15&lt;&gt;"W00",H15,"W32"))</f>
        <v>W32</v>
      </c>
      <c r="K15" s="5" t="str">
        <f t="shared" ref="K15" si="14">IF(OR(H15="",H15="Geen"),"",IF(H15&lt;&gt;"W00",H15,"W23"))</f>
        <v>W23</v>
      </c>
      <c r="L15" s="5" t="str">
        <f t="shared" si="4"/>
        <v>W16</v>
      </c>
      <c r="M15" s="5"/>
      <c r="N15" s="5" t="e">
        <f t="shared" si="5"/>
        <v>#N/A</v>
      </c>
      <c r="O15" s="22" t="str" cm="1">
        <f t="array" ref="O15">IF($C15="niet","",
  IF(1+SUMPRODUCT(--(IF(CHOOSE({1;2;3;4;5},$C$8,$C$12,$C$13,$C$14,$C$15)&lt;&gt;"niet",
                         --RIGHT(CHOOSE({1;2;3;4;5},$A$8,$A$12,$A$13,$A$14,$A$15),1),
                         -1)
                      &gt;--RIGHT($A15,1)))=1,
     "laatste",
     IF(1+SUMPRODUCT(--(IF(CHOOSE({1;2;3;4;5},$C$8,$C$12,$C$13,$C$14,$C$15)&lt;&gt;"niet",
                            --RIGHT(CHOOSE({1;2;3;4;5},$A$8,$A$12,$A$13,$A$14,$A$15),1),
                            -1)
                         &gt;--RIGHT($A15,1)))=2,
        "voorlaatste",
        ""
     )
  )
)</f>
        <v/>
      </c>
    </row>
    <row r="16" spans="1:15" ht="30" customHeight="1" x14ac:dyDescent="0.3">
      <c r="A16" s="14" t="s">
        <v>71</v>
      </c>
      <c r="B16" s="15" t="s">
        <v>80</v>
      </c>
      <c r="C16" s="15" t="s">
        <v>15</v>
      </c>
      <c r="D16" s="15" t="s">
        <v>16</v>
      </c>
      <c r="E16" s="16" t="s">
        <v>16</v>
      </c>
      <c r="F16" s="5" t="s">
        <v>30</v>
      </c>
      <c r="G16" s="6">
        <f t="shared" si="0"/>
        <v>2</v>
      </c>
      <c r="H16" s="5" t="str">
        <f t="shared" si="1"/>
        <v>W00</v>
      </c>
      <c r="I16" s="5" t="str">
        <f>IF(H16="","",IFERROR(H16 &amp; "; " &amp; VLOOKUP(H16,Mapping_Gewenst!$A$2:$B$20,2,FALSE),H16))</f>
        <v>W00</v>
      </c>
      <c r="J16" s="5" t="str">
        <f t="shared" si="2"/>
        <v>W32</v>
      </c>
      <c r="K16" s="5" t="str">
        <f t="shared" si="3"/>
        <v>W23</v>
      </c>
      <c r="L16" s="5" t="str">
        <f t="shared" si="4"/>
        <v>W16</v>
      </c>
      <c r="M16" s="5"/>
      <c r="N16" s="5" t="str">
        <f t="shared" si="5"/>
        <v>Spread; Combinatie; Combi_noodgreep</v>
      </c>
      <c r="O16" s="23" t="str" cm="1">
        <f t="array" ref="O16">IF($C16="niet","",
  IF(
    1+SUMPRODUCT(
      --(CHOOSE({1;2;3;4;5},$C$4,$C$16,$C$17,$C$18,$C$19)&lt;&gt;"niet")*
      --(--RIGHT(CHOOSE({1;2;3;4;5},$A$4,$A$16,$A$17,$A$18,$A$19),1) &gt; --RIGHT($A16,1))
    )=1,
    "laatste",
    IF(
      1+SUMPRODUCT(
        --(CHOOSE({1;2;3;4;5},$C$4,$C$16,$C$17,$C$18,$C$19)&lt;&gt;"niet")*
        --(--RIGHT(CHOOSE({1;2;3;4;5},$A$4,$A$16,$A$17,$A$18,$A$19),1) &gt; --RIGHT($A16,1))
      )=2,
      "voorlaatste",
      ""
    )
  )
)</f>
        <v>voorlaatste</v>
      </c>
    </row>
    <row r="17" spans="1:15" ht="30" customHeight="1" x14ac:dyDescent="0.3">
      <c r="A17" s="14" t="s">
        <v>72</v>
      </c>
      <c r="B17" s="15" t="s">
        <v>81</v>
      </c>
      <c r="C17" s="15" t="s">
        <v>30</v>
      </c>
      <c r="D17" s="15" t="s">
        <v>16</v>
      </c>
      <c r="E17" s="16" t="s">
        <v>16</v>
      </c>
      <c r="F17" s="5" t="s">
        <v>15</v>
      </c>
      <c r="G17" s="6">
        <f t="shared" si="0"/>
        <v>1</v>
      </c>
      <c r="H17" s="5" t="str">
        <f t="shared" si="1"/>
        <v>W00</v>
      </c>
      <c r="I17" s="5" t="str">
        <f>IF(H17="","",IFERROR(H17 &amp; "; " &amp; VLOOKUP(H17,Mapping_Gewenst!$A$2:$B$20,2,FALSE),H17))</f>
        <v>W00</v>
      </c>
      <c r="J17" s="5" t="str">
        <f t="shared" si="2"/>
        <v>W32</v>
      </c>
      <c r="K17" s="5" t="str">
        <f t="shared" si="3"/>
        <v>W23</v>
      </c>
      <c r="L17" s="5" t="str">
        <f t="shared" si="4"/>
        <v>W16</v>
      </c>
      <c r="M17" s="5"/>
      <c r="N17" s="5" t="str">
        <f t="shared" si="5"/>
        <v>Enkele pagina</v>
      </c>
      <c r="O17" s="23" t="str" cm="1">
        <f t="array" ref="O17">IF($C17="niet","",
  IF(
    1+SUMPRODUCT(
      --(CHOOSE({1;2;3;4;5},$C$4,$C$16,$C$17,$C$18,$C$19)&lt;&gt;"niet")*
      --(--RIGHT(CHOOSE({1;2;3;4;5},$A$4,$A$16,$A$17,$A$18,$A$19),1) &gt; --RIGHT($A17,1))
    )=1,
    "laatste",
    IF(
      1+SUMPRODUCT(
        --(CHOOSE({1;2;3;4;5},$C$4,$C$16,$C$17,$C$18,$C$19)&lt;&gt;"niet")*
        --(--RIGHT(CHOOSE({1;2;3;4;5},$A$4,$A$16,$A$17,$A$18,$A$19),1) &gt; --RIGHT($A17,1))
      )=2,
      "voorlaatste",
      ""
    )
  )
)</f>
        <v>laatste</v>
      </c>
    </row>
    <row r="18" spans="1:15" ht="30" customHeight="1" x14ac:dyDescent="0.3">
      <c r="A18" s="14" t="s">
        <v>73</v>
      </c>
      <c r="B18" s="15" t="s">
        <v>82</v>
      </c>
      <c r="C18" s="15" t="s">
        <v>29</v>
      </c>
      <c r="D18" s="15" t="s">
        <v>16</v>
      </c>
      <c r="E18" s="16" t="s">
        <v>16</v>
      </c>
      <c r="F18" s="5" t="s">
        <v>15</v>
      </c>
      <c r="G18" s="6">
        <f t="shared" ref="G18" si="15">IF(C18="Spread",2,IF(C18="Enkele pagina",1,IF(C18="Niet",0,"")))</f>
        <v>0</v>
      </c>
      <c r="H18" s="5" t="str">
        <f t="shared" ref="H18" si="16">IF(AND(OR(D18="Geen",D18=""),OR(E18="Geen",E18="")),"W00",IF(OR(D18="Geen",D18=""),TRIM(LEFT(E18,3)),IF(OR(E18="Geen",E18=""),TRIM(LEFT(D18,3)),IF(VALUE(MID(TRIM(LEFT(D18,3)),2,99))&lt;=VALUE(MID(TRIM(LEFT(E18,3)),2,99)),TRIM(LEFT(D18,3))&amp;"+" &amp;TRIM(LEFT(E18,3)),TRIM(LEFT(E18,3))&amp;"+" &amp;TRIM(LEFT(D18,3))))))</f>
        <v>W00</v>
      </c>
      <c r="I18" s="5" t="str">
        <f>IF(H18="","",IFERROR(H18 &amp; "; " &amp; VLOOKUP(H18,Mapping_Gewenst!$A$2:$B$20,2,FALSE),H18))</f>
        <v>W00</v>
      </c>
      <c r="J18" s="5" t="str">
        <f t="shared" ref="J18" si="17">IF(OR(H18="",H18="Geen"),"",IF(H18&lt;&gt;"W00",H18,"W32"))</f>
        <v>W32</v>
      </c>
      <c r="K18" s="5" t="str">
        <f t="shared" ref="K18" si="18">IF(OR(H18="",H18="Geen"),"",IF(H18&lt;&gt;"W00",H18,"W23"))</f>
        <v>W23</v>
      </c>
      <c r="L18" s="5" t="str">
        <f t="shared" ref="L18" si="19">IF(OR(I18="",H18="Geen"),"",IF(H18&lt;&gt;"W00",H18,"W16"))</f>
        <v>W16</v>
      </c>
      <c r="M18" s="5"/>
      <c r="N18" s="5" t="e">
        <f t="shared" ref="N18" si="20">IF(C18="Spread","Spread; Combinatie; Combi_noodgreep",IF(C18="Enkele pagina","Enkele pagina",IF(C18="niet",NA(),"")))</f>
        <v>#N/A</v>
      </c>
      <c r="O18" s="23" t="str" cm="1">
        <f t="array" ref="O18">IF($C18="niet","",
  IF(
    1+SUMPRODUCT(
      --(CHOOSE({1;2;3;4;5},$C$4,$C$16,$C$17,$C$18,$C$19)&lt;&gt;"niet")*
      --(--RIGHT(CHOOSE({1;2;3;4;5},$A$4,$A$16,$A$17,$A$18,$A$19),1) &gt; --RIGHT($A18,1))
    )=1,
    "laatste",
    IF(
      1+SUMPRODUCT(
        --(CHOOSE({1;2;3;4;5},$C$4,$C$16,$C$17,$C$18,$C$19)&lt;&gt;"niet")*
        --(--RIGHT(CHOOSE({1;2;3;4;5},$A$4,$A$16,$A$17,$A$18,$A$19),1) &gt; --RIGHT($A18,1))
      )=2,
      "voorlaatste",
      ""
    )
  )
)</f>
        <v/>
      </c>
    </row>
    <row r="19" spans="1:15" ht="30" customHeight="1" thickBot="1" x14ac:dyDescent="0.35">
      <c r="A19" s="17" t="s">
        <v>74</v>
      </c>
      <c r="B19" s="18" t="s">
        <v>83</v>
      </c>
      <c r="C19" s="18" t="s">
        <v>29</v>
      </c>
      <c r="D19" s="18" t="s">
        <v>16</v>
      </c>
      <c r="E19" s="19" t="s">
        <v>16</v>
      </c>
      <c r="F19" s="5" t="s">
        <v>15</v>
      </c>
      <c r="G19" s="6">
        <f t="shared" ref="G19" si="21">IF(C19="Spread",2,IF(C19="Enkele pagina",1,IF(C19="Niet",0,"")))</f>
        <v>0</v>
      </c>
      <c r="H19" s="5" t="str">
        <f t="shared" ref="H19" si="22">IF(AND(OR(D19="Geen",D19=""),OR(E19="Geen",E19="")),"W00",IF(OR(D19="Geen",D19=""),TRIM(LEFT(E19,3)),IF(OR(E19="Geen",E19=""),TRIM(LEFT(D19,3)),IF(VALUE(MID(TRIM(LEFT(D19,3)),2,99))&lt;=VALUE(MID(TRIM(LEFT(E19,3)),2,99)),TRIM(LEFT(D19,3))&amp;"+" &amp;TRIM(LEFT(E19,3)),TRIM(LEFT(E19,3))&amp;"+" &amp;TRIM(LEFT(D19,3))))))</f>
        <v>W00</v>
      </c>
      <c r="I19" s="5" t="str">
        <f>IF(H19="","",IFERROR(H19 &amp; "; " &amp; VLOOKUP(H19,Mapping_Gewenst!$A$2:$B$20,2,FALSE),H19))</f>
        <v>W00</v>
      </c>
      <c r="J19" s="5" t="str">
        <f t="shared" ref="J19" si="23">IF(OR(H19="",H19="Geen"),"",IF(H19&lt;&gt;"W00",H19,"W32"))</f>
        <v>W32</v>
      </c>
      <c r="K19" s="5" t="str">
        <f t="shared" ref="K19" si="24">IF(OR(H19="",H19="Geen"),"",IF(H19&lt;&gt;"W00",H19,"W23"))</f>
        <v>W23</v>
      </c>
      <c r="L19" s="5" t="str">
        <f t="shared" si="4"/>
        <v>W16</v>
      </c>
      <c r="M19" s="5"/>
      <c r="N19" s="5" t="e">
        <f t="shared" si="5"/>
        <v>#N/A</v>
      </c>
      <c r="O19" s="23" t="str" cm="1">
        <f t="array" ref="O19">IF($C19="niet","",
  IF(
    1+SUMPRODUCT(
      --(CHOOSE({1;2;3;4;5},$C$4,$C$16,$C$17,$C$18,$C$19)&lt;&gt;"niet")*
      --(--RIGHT(CHOOSE({1;2;3;4;5},$A$4,$A$16,$A$17,$A$18,$A$19),1) &gt; --RIGHT($A19,1))
    )=1,
    "laatste",
    IF(
      1+SUMPRODUCT(
        --(CHOOSE({1;2;3;4;5},$C$4,$C$16,$C$17,$C$18,$C$19)&lt;&gt;"niet")*
        --(--RIGHT(CHOOSE({1;2;3;4;5},$A$4,$A$16,$A$17,$A$18,$A$19),1) &gt; --RIGHT($A19,1))
      )=2,
      "voorlaatste",
      ""
    )
  )
)</f>
        <v/>
      </c>
    </row>
  </sheetData>
  <phoneticPr fontId="5" type="noConversion"/>
  <dataValidations count="2">
    <dataValidation type="list" allowBlank="1" showInputMessage="1" showErrorMessage="1" sqref="C2:C19" xr:uid="{00000000-0002-0000-0000-000000000000}">
      <formula1>"Spread,Enkele pagina,niet"</formula1>
    </dataValidation>
    <dataValidation type="list" allowBlank="1" sqref="D2:E19" xr:uid="{00000000-0002-0000-0000-000001000000}">
      <formula1>"Geen,W41 (50x30 mm),W39 (50x46 mm),W37 (50x70 mm),W36 (104x46 mm),W35 (50x94 mm),W32 (104x70 mm),W29 (104x94 mm),W23 (158x94 mm),W21 (266x70 mm),W17 (104x190 mm),W16 (266x94 mm),W13 (158x166 mm),W4 (266X190 mm)"</formula1>
    </dataValidation>
  </dataValidation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1"/>
  <sheetViews>
    <sheetView workbookViewId="0"/>
  </sheetViews>
  <sheetFormatPr defaultRowHeight="15" x14ac:dyDescent="0.25"/>
  <sheetData>
    <row r="1" spans="1:2" x14ac:dyDescent="0.25">
      <c r="A1" s="1" t="s">
        <v>7</v>
      </c>
      <c r="B1" s="1" t="s">
        <v>32</v>
      </c>
    </row>
    <row r="2" spans="1:2" x14ac:dyDescent="0.25">
      <c r="A2" s="1" t="s">
        <v>33</v>
      </c>
      <c r="B2" s="1" t="s">
        <v>34</v>
      </c>
    </row>
    <row r="3" spans="1:2" x14ac:dyDescent="0.25">
      <c r="A3" s="1" t="s">
        <v>35</v>
      </c>
      <c r="B3" s="1" t="s">
        <v>34</v>
      </c>
    </row>
    <row r="4" spans="1:2" x14ac:dyDescent="0.25">
      <c r="A4" s="1" t="s">
        <v>36</v>
      </c>
      <c r="B4" s="1" t="s">
        <v>37</v>
      </c>
    </row>
    <row r="5" spans="1:2" x14ac:dyDescent="0.25">
      <c r="A5" s="1" t="s">
        <v>38</v>
      </c>
      <c r="B5" s="1" t="s">
        <v>37</v>
      </c>
    </row>
    <row r="6" spans="1:2" x14ac:dyDescent="0.25">
      <c r="A6" s="1" t="s">
        <v>39</v>
      </c>
      <c r="B6" s="1" t="s">
        <v>40</v>
      </c>
    </row>
    <row r="7" spans="1:2" x14ac:dyDescent="0.25">
      <c r="A7" s="1" t="s">
        <v>41</v>
      </c>
      <c r="B7" s="1" t="s">
        <v>40</v>
      </c>
    </row>
    <row r="8" spans="1:2" x14ac:dyDescent="0.25">
      <c r="A8" s="1" t="s">
        <v>42</v>
      </c>
      <c r="B8" s="1" t="s">
        <v>43</v>
      </c>
    </row>
    <row r="9" spans="1:2" x14ac:dyDescent="0.25">
      <c r="A9" s="1" t="s">
        <v>44</v>
      </c>
      <c r="B9" s="1" t="s">
        <v>45</v>
      </c>
    </row>
    <row r="10" spans="1:2" x14ac:dyDescent="0.25">
      <c r="A10" s="1" t="s">
        <v>46</v>
      </c>
      <c r="B10" s="1" t="s">
        <v>45</v>
      </c>
    </row>
    <row r="11" spans="1:2" x14ac:dyDescent="0.25">
      <c r="A11" s="1" t="s">
        <v>47</v>
      </c>
      <c r="B11" s="1" t="s">
        <v>45</v>
      </c>
    </row>
    <row r="12" spans="1:2" x14ac:dyDescent="0.25">
      <c r="A12" s="1" t="s">
        <v>48</v>
      </c>
      <c r="B12" s="1" t="s">
        <v>49</v>
      </c>
    </row>
    <row r="13" spans="1:2" x14ac:dyDescent="0.25">
      <c r="A13" s="1" t="s">
        <v>50</v>
      </c>
      <c r="B13" s="1" t="s">
        <v>49</v>
      </c>
    </row>
    <row r="14" spans="1:2" x14ac:dyDescent="0.25">
      <c r="A14" s="1" t="s">
        <v>51</v>
      </c>
      <c r="B14" s="1" t="s">
        <v>49</v>
      </c>
    </row>
    <row r="15" spans="1:2" x14ac:dyDescent="0.25">
      <c r="A15" s="1" t="s">
        <v>52</v>
      </c>
      <c r="B15" s="1" t="s">
        <v>53</v>
      </c>
    </row>
    <row r="16" spans="1:2" x14ac:dyDescent="0.25">
      <c r="A16" s="1" t="s">
        <v>54</v>
      </c>
      <c r="B16" s="1" t="s">
        <v>53</v>
      </c>
    </row>
    <row r="17" spans="1:2" x14ac:dyDescent="0.25">
      <c r="A17" s="1" t="s">
        <v>55</v>
      </c>
      <c r="B17" s="1" t="s">
        <v>53</v>
      </c>
    </row>
    <row r="18" spans="1:2" x14ac:dyDescent="0.25">
      <c r="A18" s="1" t="s">
        <v>56</v>
      </c>
      <c r="B18" s="1" t="s">
        <v>57</v>
      </c>
    </row>
    <row r="19" spans="1:2" x14ac:dyDescent="0.25">
      <c r="A19" s="1" t="s">
        <v>58</v>
      </c>
      <c r="B19" s="1" t="s">
        <v>59</v>
      </c>
    </row>
    <row r="20" spans="1:2" x14ac:dyDescent="0.25">
      <c r="A20" t="s">
        <v>60</v>
      </c>
      <c r="B20" t="s">
        <v>49</v>
      </c>
    </row>
    <row r="21" spans="1:2" x14ac:dyDescent="0.25">
      <c r="A21" t="s">
        <v>61</v>
      </c>
      <c r="B21" t="s">
        <v>62</v>
      </c>
    </row>
  </sheetData>
  <sheetProtection sheet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Blad1</vt:lpstr>
      <vt:lpstr>Mapping_Gewenst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Roel Ophelders</dc:creator>
  <cp:lastModifiedBy>Roel Ophelders</cp:lastModifiedBy>
  <dcterms:created xsi:type="dcterms:W3CDTF">2025-12-17T08:51:04Z</dcterms:created>
  <dcterms:modified xsi:type="dcterms:W3CDTF">2026-02-07T21:15:53Z</dcterms:modified>
</cp:coreProperties>
</file>